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-2026\Excel\"/>
    </mc:Choice>
  </mc:AlternateContent>
  <xr:revisionPtr revIDLastSave="0" documentId="13_ncr:1_{4AB249D9-052F-4FDB-88C4-80CC94A2FE64}" xr6:coauthVersionLast="47" xr6:coauthVersionMax="47" xr10:uidLastSave="{00000000-0000-0000-0000-000000000000}"/>
  <bookViews>
    <workbookView xWindow="8472" yWindow="0" windowWidth="14664" windowHeight="13776" activeTab="2" xr2:uid="{A50F8352-B7F2-417D-987E-05430117CEAB}"/>
  </bookViews>
  <sheets>
    <sheet name="Dataset 1" sheetId="1" r:id="rId1"/>
    <sheet name="Dataset 2" sheetId="2" r:id="rId2"/>
    <sheet name="Sheet2" sheetId="3" r:id="rId3"/>
  </sheet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G4" i="2"/>
  <c r="G3" i="2"/>
  <c r="G2" i="2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<sst xmlns="http://schemas.openxmlformats.org/spreadsheetml/2006/main" count="77" uniqueCount="31">
  <si>
    <t>DataSet</t>
  </si>
  <si>
    <t>Student</t>
  </si>
  <si>
    <t>Score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</si>
  <si>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</si>
  <si>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</si>
  <si>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</si>
  <si>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</si>
  <si>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</si>
  <si>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</si>
  <si>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</si>
  <si>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</si>
  <si>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</si>
  <si>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</si>
  <si>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 xml:space="preserve">Descriptive Statistics </t>
  </si>
  <si>
    <t>Maximum</t>
  </si>
  <si>
    <t>Minimum</t>
  </si>
  <si>
    <t>Range</t>
  </si>
  <si>
    <t>Average</t>
  </si>
  <si>
    <t>Median</t>
  </si>
  <si>
    <t>Mode</t>
  </si>
  <si>
    <t>Standard Deviation</t>
  </si>
  <si>
    <t xml:space="preserve">Track </t>
  </si>
  <si>
    <t>Time Zone</t>
  </si>
  <si>
    <t>App Dev</t>
  </si>
  <si>
    <t>EST</t>
  </si>
  <si>
    <t>Data Analytics</t>
  </si>
  <si>
    <t>CST</t>
  </si>
  <si>
    <t>PST</t>
  </si>
  <si>
    <t>Row Labels</t>
  </si>
  <si>
    <t>Grand Total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</si>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</sst>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/>
    <xf numFmtId="0" fontId="0" fillId="4" borderId="1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4" borderId="1" xfId="0" applyFill="1" applyBorder="1" applyAlignment="1"/>
    <xf numFmtId="0" fontId="1" fillId="0" borderId="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 ordonez" refreshedDate="46108.582983912034" createdVersion="8" refreshedVersion="8" minRefreshableVersion="3" recordCount="10" xr:uid="{16EFAB8F-9DD4-4AA9-90F1-CEAFF70DB42C}">
  <cacheSource type="worksheet">
    <worksheetSource ref="A2:B12" sheet="Dataset 1"/>
  </cacheSource>
  <cacheFields count="2">
    <cacheField name="Student" numFmtId="0">
      <sharedItems count="10">
        <s v="Student 1"/>
        <s v="Student 2"/>
        <s v="Student 3"/>
        <s v="Student 4"/>
        <s v="Student 5"/>
        <s v="Student 6"/>
        <s v="Student 7"/>
        <s v="Student 8"/>
        <s v="Student 9"/>
        <s v="Student 10"/>
      </sharedItems>
    </cacheField>
    <cacheField name="Score" numFmtId="0">
      <sharedItems containsSemiMixedTypes="0" containsString="0" containsNumber="1" containsInteger="1" minValue="65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65"/>
  </r>
  <r>
    <x v="1"/>
    <n v="70"/>
  </r>
  <r>
    <x v="2"/>
    <n v="75"/>
  </r>
  <r>
    <x v="3"/>
    <n v="80"/>
  </r>
  <r>
    <x v="4"/>
    <n v="85"/>
  </r>
  <r>
    <x v="5"/>
    <n v="90"/>
  </r>
  <r>
    <x v="6"/>
    <n v="75"/>
  </r>
  <r>
    <x v="7"/>
    <n v="80"/>
  </r>
  <r>
    <x v="8"/>
    <n v="95"/>
  </r>
  <r>
    <x v="9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5AD9A-E938-49AA-B948-9C9623EC3047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2" firstHeaderRow="1" firstDataRow="1" firstDataCol="1"/>
  <pivotFields count="2"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core" fld="1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D163-E224-478E-9F0C-6357C8E41A92}">
  <dimension ref="A1:E12"/>
  <sheetViews>
    <sheetView workbookViewId="0">
      <selection activeCell="C18" sqref="C18"/>
    </sheetView>
  </sheetViews>
  <sheetFormatPr defaultRowHeight="14.4" x14ac:dyDescent="0.3"/>
  <cols>
    <col min="4" max="4" width="15.88671875" customWidth="1"/>
  </cols>
  <sheetData>
    <row r="1" spans="1:5" x14ac:dyDescent="0.3">
      <c r="A1" s="5" t="s">
        <v>0</v>
      </c>
      <c r="B1" s="6"/>
      <c r="D1" s="7" t="s">
        <v>13</v>
      </c>
      <c r="E1" s="8"/>
    </row>
    <row r="2" spans="1:5" x14ac:dyDescent="0.3">
      <c r="A2" s="2" t="s">
        <v>1</v>
      </c>
      <c r="B2" s="2" t="s">
        <v>2</v>
      </c>
      <c r="D2" s="4" t="s">
        <v>14</v>
      </c>
      <c r="E2" s="1">
        <f>MAX(B3:B12)</f>
        <v>95</v>
      </c>
    </row>
    <row r="3" spans="1:5" x14ac:dyDescent="0.3">
      <c r="A3" s="4" t="s">
        <v>3</v>
      </c>
      <c r="B3" s="1">
        <v>65</v>
      </c>
      <c r="D3" s="4" t="s">
        <v>15</v>
      </c>
      <c r="E3" s="1">
        <f>MIN(B3:B12)</f>
        <v>65</v>
      </c>
    </row>
    <row r="4" spans="1:5" x14ac:dyDescent="0.3">
      <c r="A4" s="4" t="s">
        <v>4</v>
      </c>
      <c r="B4" s="1">
        <v>70</v>
      </c>
      <c r="D4" s="4" t="s">
        <v>16</v>
      </c>
      <c r="E4" s="1">
        <f>MAX(B3:B12)-MIN(B3:B12)</f>
        <v>30</v>
      </c>
    </row>
    <row r="5" spans="1:5" x14ac:dyDescent="0.3">
      <c r="A5" s="4" t="s">
        <v>5</v>
      </c>
      <c r="B5" s="1">
        <v>75</v>
      </c>
      <c r="D5" s="4" t="s">
        <v>17</v>
      </c>
      <c r="E5" s="1">
        <f>AVERAGE(B3:B12)</f>
        <v>78.5</v>
      </c>
    </row>
    <row r="6" spans="1:5" x14ac:dyDescent="0.3">
      <c r="A6" s="4" t="s">
        <v>6</v>
      </c>
      <c r="B6" s="1">
        <v>80</v>
      </c>
      <c r="D6" s="4" t="s">
        <v>18</v>
      </c>
      <c r="E6" s="1">
        <f>MEDIAN(B3:B12)</f>
        <v>77.5</v>
      </c>
    </row>
    <row r="7" spans="1:5" x14ac:dyDescent="0.3">
      <c r="A7" s="4" t="s">
        <v>7</v>
      </c>
      <c r="B7" s="1">
        <v>85</v>
      </c>
      <c r="D7" s="4" t="s">
        <v>19</v>
      </c>
      <c r="E7" s="1">
        <f>_xlfn.MODE.SNGL(B3:B12)</f>
        <v>70</v>
      </c>
    </row>
    <row r="8" spans="1:5" x14ac:dyDescent="0.3">
      <c r="A8" s="4" t="s">
        <v>8</v>
      </c>
      <c r="B8" s="1">
        <v>90</v>
      </c>
      <c r="D8" s="4" t="s">
        <v>20</v>
      </c>
      <c r="E8" s="3">
        <f>_xlfn.STDEV.P(B3:B12)</f>
        <v>8.9582364335844584</v>
      </c>
    </row>
    <row r="9" spans="1:5" x14ac:dyDescent="0.3">
      <c r="A9" s="4" t="s">
        <v>9</v>
      </c>
      <c r="B9" s="1">
        <v>75</v>
      </c>
    </row>
    <row r="10" spans="1:5" x14ac:dyDescent="0.3">
      <c r="A10" s="4" t="s">
        <v>10</v>
      </c>
      <c r="B10" s="1">
        <v>80</v>
      </c>
    </row>
    <row r="11" spans="1:5" x14ac:dyDescent="0.3">
      <c r="A11" s="4" t="s">
        <v>11</v>
      </c>
      <c r="B11" s="1">
        <v>95</v>
      </c>
    </row>
    <row r="12" spans="1:5" x14ac:dyDescent="0.3">
      <c r="A12" s="4" t="s">
        <v>12</v>
      </c>
      <c r="B12" s="1">
        <v>70</v>
      </c>
    </row>
  </sheetData>
  <mergeCells count="2">
    <mergeCell ref="A1:B1"/>
    <mergeCell ref="D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FD1B-A946-4DE3-A47B-477CBFEAB182}">
  <dimension ref="A1:H13"/>
  <sheetViews>
    <sheetView workbookViewId="0">
      <selection activeCell="D19" sqref="D19"/>
    </sheetView>
  </sheetViews>
  <sheetFormatPr defaultRowHeight="14.4" x14ac:dyDescent="0.3"/>
  <cols>
    <col min="1" max="1" width="9.109375" customWidth="1"/>
    <col min="3" max="3" width="14" customWidth="1"/>
    <col min="4" max="4" width="15.88671875" customWidth="1"/>
    <col min="7" max="7" width="12.33203125" bestFit="1" customWidth="1"/>
  </cols>
  <sheetData>
    <row r="1" spans="1:8" x14ac:dyDescent="0.3">
      <c r="A1" s="14" t="s">
        <v>0</v>
      </c>
      <c r="B1" s="15"/>
      <c r="C1" s="15"/>
      <c r="D1" s="15"/>
      <c r="F1" s="7" t="s">
        <v>13</v>
      </c>
      <c r="G1" s="8"/>
      <c r="H1" s="17"/>
    </row>
    <row r="2" spans="1:8" x14ac:dyDescent="0.3">
      <c r="A2" s="2" t="s">
        <v>1</v>
      </c>
      <c r="B2" s="2" t="s">
        <v>2</v>
      </c>
      <c r="C2" s="2" t="s">
        <v>21</v>
      </c>
      <c r="D2" s="2" t="s">
        <v>22</v>
      </c>
      <c r="F2" s="4" t="s">
        <v>14</v>
      </c>
      <c r="G2" s="1">
        <f>MAX(B3:B12)</f>
        <v>95</v>
      </c>
      <c r="H2" s="10"/>
    </row>
    <row r="3" spans="1:8" x14ac:dyDescent="0.3">
      <c r="A3" s="16" t="s">
        <v>3</v>
      </c>
      <c r="B3" s="13">
        <v>65</v>
      </c>
      <c r="C3" s="13" t="s">
        <v>23</v>
      </c>
      <c r="D3" s="9" t="s">
        <v>24</v>
      </c>
      <c r="F3" s="4" t="s">
        <v>15</v>
      </c>
      <c r="G3" s="1">
        <f>MIN(B3:B12)</f>
        <v>65</v>
      </c>
      <c r="H3" s="12"/>
    </row>
    <row r="4" spans="1:8" x14ac:dyDescent="0.3">
      <c r="A4" s="16" t="s">
        <v>4</v>
      </c>
      <c r="B4" s="13">
        <v>70</v>
      </c>
      <c r="C4" s="13" t="s">
        <v>23</v>
      </c>
      <c r="D4" s="9" t="s">
        <v>26</v>
      </c>
      <c r="F4" s="4" t="s">
        <v>16</v>
      </c>
      <c r="G4" s="1">
        <f>MAX(B3:B12)-MIN(B3:B12)</f>
        <v>30</v>
      </c>
      <c r="H4" s="12"/>
    </row>
    <row r="5" spans="1:8" x14ac:dyDescent="0.3">
      <c r="A5" s="16" t="s">
        <v>5</v>
      </c>
      <c r="B5" s="13">
        <v>75</v>
      </c>
      <c r="C5" s="13" t="s">
        <v>25</v>
      </c>
      <c r="D5" s="9" t="s">
        <v>27</v>
      </c>
      <c r="F5" s="4" t="s">
        <v>17</v>
      </c>
      <c r="G5" s="1">
        <f>AVERAGE(B3:B12)</f>
        <v>78.5</v>
      </c>
      <c r="H5" s="12"/>
    </row>
    <row r="6" spans="1:8" x14ac:dyDescent="0.3">
      <c r="A6" s="16" t="s">
        <v>6</v>
      </c>
      <c r="B6" s="13">
        <v>80</v>
      </c>
      <c r="C6" s="13" t="s">
        <v>25</v>
      </c>
      <c r="D6" s="9" t="s">
        <v>24</v>
      </c>
      <c r="F6" s="4" t="s">
        <v>18</v>
      </c>
      <c r="G6" s="1">
        <f>MEDIAN(B3:B12)</f>
        <v>77.5</v>
      </c>
      <c r="H6" s="12"/>
    </row>
    <row r="7" spans="1:8" x14ac:dyDescent="0.3">
      <c r="A7" s="16" t="s">
        <v>7</v>
      </c>
      <c r="B7" s="13">
        <v>85</v>
      </c>
      <c r="C7" s="13" t="s">
        <v>23</v>
      </c>
      <c r="D7" s="9" t="s">
        <v>24</v>
      </c>
      <c r="F7" s="4" t="s">
        <v>19</v>
      </c>
      <c r="G7" s="1">
        <f>_xlfn.MODE.SNGL(B3:B12)</f>
        <v>70</v>
      </c>
      <c r="H7" s="12"/>
    </row>
    <row r="8" spans="1:8" x14ac:dyDescent="0.3">
      <c r="A8" s="16" t="s">
        <v>8</v>
      </c>
      <c r="B8" s="13">
        <v>90</v>
      </c>
      <c r="C8" s="13" t="s">
        <v>23</v>
      </c>
      <c r="D8" s="9" t="s">
        <v>27</v>
      </c>
      <c r="F8" s="4" t="s">
        <v>20</v>
      </c>
      <c r="G8" s="3">
        <f>_xlfn.STDEV.P(B3:B12)</f>
        <v>8.9582364335844584</v>
      </c>
      <c r="H8" s="12"/>
    </row>
    <row r="9" spans="1:8" x14ac:dyDescent="0.3">
      <c r="A9" s="16" t="s">
        <v>9</v>
      </c>
      <c r="B9" s="13">
        <v>75</v>
      </c>
      <c r="C9" s="13" t="s">
        <v>23</v>
      </c>
      <c r="D9" s="9" t="s">
        <v>24</v>
      </c>
      <c r="G9" s="11"/>
      <c r="H9" s="12"/>
    </row>
    <row r="10" spans="1:8" x14ac:dyDescent="0.3">
      <c r="A10" s="16" t="s">
        <v>10</v>
      </c>
      <c r="B10" s="13">
        <v>80</v>
      </c>
      <c r="C10" s="13" t="s">
        <v>25</v>
      </c>
      <c r="D10" s="9" t="s">
        <v>27</v>
      </c>
      <c r="G10" s="11"/>
      <c r="H10" s="12"/>
    </row>
    <row r="11" spans="1:8" x14ac:dyDescent="0.3">
      <c r="A11" s="16" t="s">
        <v>11</v>
      </c>
      <c r="B11" s="13">
        <v>95</v>
      </c>
      <c r="C11" s="13" t="s">
        <v>25</v>
      </c>
      <c r="D11" s="9" t="s">
        <v>24</v>
      </c>
      <c r="G11" s="11"/>
      <c r="H11" s="12"/>
    </row>
    <row r="12" spans="1:8" x14ac:dyDescent="0.3">
      <c r="A12" s="16" t="s">
        <v>12</v>
      </c>
      <c r="B12" s="13">
        <v>70</v>
      </c>
      <c r="C12" s="13" t="s">
        <v>23</v>
      </c>
      <c r="D12" s="9" t="s">
        <v>26</v>
      </c>
      <c r="G12" s="11"/>
      <c r="H12" s="12"/>
    </row>
    <row r="13" spans="1:8" x14ac:dyDescent="0.3">
      <c r="G13" s="11"/>
      <c r="H13" s="11"/>
    </row>
  </sheetData>
  <mergeCells count="2">
    <mergeCell ref="F1:G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895C-4D1D-4BE0-9C31-085161E57189}">
  <dimension ref="A1:B12"/>
  <sheetViews>
    <sheetView tabSelected="1" workbookViewId="0">
      <selection activeCell="D6" sqref="D6"/>
    </sheetView>
  </sheetViews>
  <sheetFormatPr defaultRowHeight="14.4" x14ac:dyDescent="0.3"/>
  <cols>
    <col min="1" max="1" width="12.44140625" bestFit="1" customWidth="1"/>
    <col min="2" max="2" width="11.109375" customWidth="1"/>
  </cols>
  <sheetData>
    <row r="1" spans="1:2" x14ac:dyDescent="0.3">
      <c r="A1" s="18" t="s">
        <v>28</v>
      </c>
      <c r="B1" t="s">
        <v>30</v>
      </c>
    </row>
    <row r="2" spans="1:2" x14ac:dyDescent="0.3">
      <c r="A2" s="19" t="s">
        <v>3</v>
      </c>
      <c r="B2" s="21">
        <v>65</v>
      </c>
    </row>
    <row r="3" spans="1:2" x14ac:dyDescent="0.3">
      <c r="A3" s="19" t="s">
        <v>12</v>
      </c>
      <c r="B3" s="21">
        <v>70</v>
      </c>
    </row>
    <row r="4" spans="1:2" x14ac:dyDescent="0.3">
      <c r="A4" s="19" t="s">
        <v>4</v>
      </c>
      <c r="B4" s="21">
        <v>70</v>
      </c>
    </row>
    <row r="5" spans="1:2" x14ac:dyDescent="0.3">
      <c r="A5" s="19" t="s">
        <v>5</v>
      </c>
      <c r="B5" s="21">
        <v>75</v>
      </c>
    </row>
    <row r="6" spans="1:2" x14ac:dyDescent="0.3">
      <c r="A6" s="19" t="s">
        <v>6</v>
      </c>
      <c r="B6" s="21">
        <v>80</v>
      </c>
    </row>
    <row r="7" spans="1:2" x14ac:dyDescent="0.3">
      <c r="A7" s="19" t="s">
        <v>7</v>
      </c>
      <c r="B7" s="21">
        <v>85</v>
      </c>
    </row>
    <row r="8" spans="1:2" x14ac:dyDescent="0.3">
      <c r="A8" s="19" t="s">
        <v>8</v>
      </c>
      <c r="B8" s="21">
        <v>90</v>
      </c>
    </row>
    <row r="9" spans="1:2" x14ac:dyDescent="0.3">
      <c r="A9" s="19" t="s">
        <v>9</v>
      </c>
      <c r="B9" s="21">
        <v>75</v>
      </c>
    </row>
    <row r="10" spans="1:2" x14ac:dyDescent="0.3">
      <c r="A10" s="19" t="s">
        <v>10</v>
      </c>
      <c r="B10" s="21">
        <v>80</v>
      </c>
    </row>
    <row r="11" spans="1:2" x14ac:dyDescent="0.3">
      <c r="A11" s="19" t="s">
        <v>11</v>
      </c>
      <c r="B11" s="21">
        <v>95</v>
      </c>
    </row>
    <row r="12" spans="1:2" x14ac:dyDescent="0.3">
      <c r="A12" s="19" t="s">
        <v>29</v>
      </c>
      <c r="B12" s="20">
        <v>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</vt:lpstr>
      <vt:lpstr>Dataset 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2026-03-25T18:20:30Z</dcterms:created>
  <dcterms:modified xsi:type="dcterms:W3CDTF">2026-03-27T18:03:00Z</dcterms:modified>
</cp:coreProperties>
</file>